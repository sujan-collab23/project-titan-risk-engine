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\Desktop\"/>
    </mc:Choice>
  </mc:AlternateContent>
  <xr:revisionPtr revIDLastSave="0" documentId="13_ncr:1_{1EBE1183-2256-4556-B5D1-85BFE07E5FAC}" xr6:coauthVersionLast="41" xr6:coauthVersionMax="41" xr10:uidLastSave="{00000000-0000-0000-0000-000000000000}"/>
  <bookViews>
    <workbookView xWindow="-120" yWindow="-120" windowWidth="20730" windowHeight="11160" xr2:uid="{5DA684C9-FC46-4A25-9642-4215B5081E89}"/>
  </bookViews>
  <sheets>
    <sheet name="M&amp;A_ENGINE" sheetId="1" r:id="rId1"/>
  </sheets>
  <definedNames>
    <definedName name="_xlchart.v1.0" hidden="1">'M&amp;A_ENGINE'!$A$75:$A$79</definedName>
    <definedName name="_xlchart.v1.1" hidden="1">'M&amp;A_ENGINE'!$B$75:$B$79</definedName>
    <definedName name="_xlchart.v1.2" hidden="1">'M&amp;A_ENGINE'!$A$75:$A$79</definedName>
    <definedName name="_xlchart.v1.3" hidden="1">'M&amp;A_ENGINE'!$B$75:$B$79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9" i="1" l="1"/>
  <c r="B78" i="1"/>
  <c r="B77" i="1"/>
  <c r="B76" i="1"/>
  <c r="B75" i="1"/>
  <c r="D70" i="1"/>
  <c r="D66" i="1"/>
  <c r="B63" i="1"/>
  <c r="B62" i="1"/>
  <c r="B61" i="1"/>
  <c r="B60" i="1"/>
  <c r="B59" i="1"/>
  <c r="B56" i="1"/>
  <c r="B54" i="1"/>
  <c r="B53" i="1"/>
  <c r="B52" i="1"/>
  <c r="B51" i="1"/>
  <c r="B50" i="1"/>
  <c r="B45" i="1"/>
  <c r="B46" i="1" s="1"/>
  <c r="B47" i="1" s="1"/>
  <c r="B44" i="1"/>
  <c r="C41" i="1"/>
  <c r="B41" i="1"/>
  <c r="C38" i="1"/>
  <c r="B38" i="1"/>
  <c r="C40" i="1"/>
  <c r="C36" i="1"/>
  <c r="B36" i="1"/>
  <c r="B28" i="1"/>
  <c r="B27" i="1"/>
  <c r="B26" i="1"/>
  <c r="B21" i="1"/>
  <c r="B23" i="1" s="1"/>
</calcChain>
</file>

<file path=xl/sharedStrings.xml><?xml version="1.0" encoding="utf-8"?>
<sst xmlns="http://schemas.openxmlformats.org/spreadsheetml/2006/main" count="70" uniqueCount="70">
  <si>
    <t>JPMORGAN CHASE ACQUIRES ZIONS BANCORPORATION</t>
  </si>
  <si>
    <t>M&amp;A INTEGRATION PROFORMA</t>
  </si>
  <si>
    <t>1.TRANSACTION BENCHMARK &amp; MARKET DATA</t>
  </si>
  <si>
    <t>ZION STANDALONE SHARE PRICE ($)</t>
  </si>
  <si>
    <t>TARGET CONTROL PREMIUM (%)</t>
  </si>
  <si>
    <t>2.TRANSACTION FINANCING MIX</t>
  </si>
  <si>
    <t>CASH CONSIDERATIONS (%)</t>
  </si>
  <si>
    <t>STOCK CONSIDERATION (%)</t>
  </si>
  <si>
    <t>COST OF NEW TRANSACTION DEBT (PRE TAX)</t>
  </si>
  <si>
    <t>MARGINAL CORPORATE TAX RATE (%)</t>
  </si>
  <si>
    <t>ESTIMATED INTEGRATION COST ($M)</t>
  </si>
  <si>
    <t>3.TRANSACTION VALUE &amp; PURCHASE PRICE</t>
  </si>
  <si>
    <t>OFFER PRICE PER SHARE ($)</t>
  </si>
  <si>
    <t>ZIONS SHARE OUTSTANDING (MILLIONS)</t>
  </si>
  <si>
    <t>TOTAL PURCHASE/EQUITY VALUE($M)</t>
  </si>
  <si>
    <t>4.DEAL FINANCING STRUCTURE</t>
  </si>
  <si>
    <t>CASH FUNDED VALUE($)</t>
  </si>
  <si>
    <t>STOCK FUNDED VALUE($)</t>
  </si>
  <si>
    <t>NEW JPMC SHARES TO ISSUE(M)</t>
  </si>
  <si>
    <t>5. STANDALONE HISTORICAL FINANCIALS($M)</t>
  </si>
  <si>
    <t>NET REVENUE</t>
  </si>
  <si>
    <t>JPMC</t>
  </si>
  <si>
    <t>ZIONS</t>
  </si>
  <si>
    <t>NON-INTREST EXPENSE</t>
  </si>
  <si>
    <t>PROVISION FOR CREDIT LOSSES</t>
  </si>
  <si>
    <t>INCOME BEFORE TAXES</t>
  </si>
  <si>
    <t>INCOME TAX EXPENSE</t>
  </si>
  <si>
    <t>NET INCOME AVAILABLE TO COMMON</t>
  </si>
  <si>
    <t>COMMON SHARES OUTSTANDING (MILIIONS)</t>
  </si>
  <si>
    <t>STANDALONE EARNINGS PER SHARE (EPS)</t>
  </si>
  <si>
    <t>6. TRANSACTION SYNERGY ENGINE ($M)</t>
  </si>
  <si>
    <t>TARGET NON-INTREST EXPENSE BASELINE</t>
  </si>
  <si>
    <t>FULLY PHASED-IN COST SYNERGIES(%)</t>
  </si>
  <si>
    <t>TOTAL PRE-TAX COST SYNERGIES ($M)</t>
  </si>
  <si>
    <t>AFTER TAX-COST SYNERGIES($M)</t>
  </si>
  <si>
    <t>7. PRO FORMA COMBINED BANK ($M)</t>
  </si>
  <si>
    <t>COMBINED NET REVENUE</t>
  </si>
  <si>
    <t>COMBINED NON-INTREST EXPENSE</t>
  </si>
  <si>
    <t>COMBINED PROVISION FOR CREDIT LOSSES</t>
  </si>
  <si>
    <t>NEW TRANSACTION DEBT INTREST EXPENSE</t>
  </si>
  <si>
    <t>PRO FORMA INCOME BEFORE TAXES</t>
  </si>
  <si>
    <t>PRO FORMA INCOME TAX EXPENSE</t>
  </si>
  <si>
    <t>PRO FORMA NET INCOME TO COMMON</t>
  </si>
  <si>
    <t>8. TRANSACTION ACCRETION/DILUTION ANALYSIS</t>
  </si>
  <si>
    <t>PRO FORMA SHARES OUTSTANDING (MILLIONS)</t>
  </si>
  <si>
    <t>PRO FORMA EARNINGS PER SHARE(EPS)</t>
  </si>
  <si>
    <t>JPMC STANDALONE EPS($)</t>
  </si>
  <si>
    <t>NET EPS ACCRETION/(DILUTION)($)</t>
  </si>
  <si>
    <t>PERCENTAGE ACCRETION/(DILUTION)</t>
  </si>
  <si>
    <t>52- WEEK TRADING RANGE</t>
  </si>
  <si>
    <t>PUBLIC MARKET COMPS</t>
  </si>
  <si>
    <t>LOW</t>
  </si>
  <si>
    <t>HIGH</t>
  </si>
  <si>
    <t>OFFER</t>
  </si>
  <si>
    <t>PRECENDENT TRANSACTIONS</t>
  </si>
  <si>
    <t>DISCOUNTED CASH FLOW ( DCF)</t>
  </si>
  <si>
    <t>TRANSACTION OFFER PRICE</t>
  </si>
  <si>
    <t xml:space="preserve">JPMC STANDALONE NET INCOME </t>
  </si>
  <si>
    <t>ZIONS NET INCOME CONTRIBUTION</t>
  </si>
  <si>
    <t>AFTER TAX COST SYNERGIES</t>
  </si>
  <si>
    <t>NEW DEBT INTREST EXPENSE</t>
  </si>
  <si>
    <t>PRO FORMA NET INCOME</t>
  </si>
  <si>
    <t>BLUE</t>
  </si>
  <si>
    <t>WIN</t>
  </si>
  <si>
    <t>RED</t>
  </si>
  <si>
    <t>LOSS</t>
  </si>
  <si>
    <t>JPMC STANDALONE SHARE PRICE ($)</t>
  </si>
  <si>
    <t>PROJECT TITAN// M&amp;A INTEGRATION MODEL</t>
  </si>
  <si>
    <t>STRICTLY CONFIDENTIAL</t>
  </si>
  <si>
    <t>DEAL ACCRETION/(DILUTION) SCENARIO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</si>
</sst>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166" fontId="0" fillId="0" borderId="0" xfId="0" applyNumberFormat="1"/>
    <xf numFmtId="8" fontId="3" fillId="0" borderId="0" xfId="0" applyNumberFormat="1" applyFont="1"/>
    <xf numFmtId="166" fontId="3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0" fontId="1" fillId="0" borderId="2" xfId="0" applyFont="1" applyBorder="1"/>
    <xf numFmtId="4" fontId="0" fillId="0" borderId="0" xfId="0" applyNumberFormat="1"/>
    <xf numFmtId="4" fontId="3" fillId="0" borderId="0" xfId="0" applyNumberFormat="1" applyFont="1"/>
    <xf numFmtId="166" fontId="1" fillId="0" borderId="0" xfId="0" applyNumberFormat="1" applyFont="1"/>
    <xf numFmtId="0" fontId="0" fillId="0" borderId="1" xfId="0" applyBorder="1"/>
    <xf numFmtId="166" fontId="4" fillId="0" borderId="0" xfId="0" applyNumberFormat="1" applyFont="1"/>
    <xf numFmtId="10" fontId="1" fillId="0" borderId="2" xfId="0" applyNumberFormat="1" applyFont="1" applyBorder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</a:t>
            </a:r>
            <a:r>
              <a:rPr lang="en-US" baseline="0"/>
              <a:t> SUMMARY &amp; METHODLOGY COMPARISON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'M&amp;A_ENGINE'!$B$65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'M&amp;A_ENGINE'!$A$66:$A$70</c:f>
              <c:strCache>
                <c:ptCount val="5"/>
                <c:pt idx="0">
                  <c:v>52- WEEK TRADING RANGE</c:v>
                </c:pt>
                <c:pt idx="1">
                  <c:v>PUBLIC MARKET COMPS</c:v>
                </c:pt>
                <c:pt idx="2">
                  <c:v>PRECENDENT TRANSACTIONS</c:v>
                </c:pt>
                <c:pt idx="3">
                  <c:v>DISCOUNTED CASH FLOW ( DCF)</c:v>
                </c:pt>
                <c:pt idx="4">
                  <c:v>TRANSACTION OFFER PRICE</c:v>
                </c:pt>
              </c:strCache>
            </c:strRef>
          </c:cat>
          <c:val>
            <c:numRef>
              <c:f>'M&amp;A_ENGINE'!$B$66:$B$70</c:f>
              <c:numCache>
                <c:formatCode>"$"#,##0.00</c:formatCode>
                <c:ptCount val="5"/>
                <c:pt idx="0">
                  <c:v>35</c:v>
                </c:pt>
                <c:pt idx="1">
                  <c:v>40</c:v>
                </c:pt>
                <c:pt idx="2">
                  <c:v>48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E-42B1-B42A-AC02F9B1AB73}"/>
            </c:ext>
          </c:extLst>
        </c:ser>
        <c:ser>
          <c:idx val="1"/>
          <c:order val="1"/>
          <c:tx>
            <c:strRef>
              <c:f>'M&amp;A_ENGINE'!$C$65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'M&amp;A_ENGINE'!$A$66:$A$70</c:f>
              <c:strCache>
                <c:ptCount val="5"/>
                <c:pt idx="0">
                  <c:v>52- WEEK TRADING RANGE</c:v>
                </c:pt>
                <c:pt idx="1">
                  <c:v>PUBLIC MARKET COMPS</c:v>
                </c:pt>
                <c:pt idx="2">
                  <c:v>PRECENDENT TRANSACTIONS</c:v>
                </c:pt>
                <c:pt idx="3">
                  <c:v>DISCOUNTED CASH FLOW ( DCF)</c:v>
                </c:pt>
                <c:pt idx="4">
                  <c:v>TRANSACTION OFFER PRICE</c:v>
                </c:pt>
              </c:strCache>
            </c:strRef>
          </c:cat>
          <c:val>
            <c:numRef>
              <c:f>'M&amp;A_ENGINE'!$C$66:$C$70</c:f>
              <c:numCache>
                <c:formatCode>"$"#,##0.00</c:formatCode>
                <c:ptCount val="5"/>
                <c:pt idx="0">
                  <c:v>55</c:v>
                </c:pt>
                <c:pt idx="1">
                  <c:v>60</c:v>
                </c:pt>
                <c:pt idx="2">
                  <c:v>68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E-42B1-B42A-AC02F9B1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9292784"/>
        <c:axId val="1824568528"/>
      </c:barChart>
      <c:scatterChart>
        <c:scatterStyle val="smoothMarker"/>
        <c:varyColors val="0"/>
        <c:ser>
          <c:idx val="2"/>
          <c:order val="2"/>
          <c:tx>
            <c:strRef>
              <c:f>'M&amp;A_ENGINE'!$D$65</c:f>
              <c:strCache>
                <c:ptCount val="1"/>
                <c:pt idx="0">
                  <c:v>OFFER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'M&amp;A_ENGINE'!$A$66:$A$70</c:f>
              <c:strCache>
                <c:ptCount val="5"/>
                <c:pt idx="0">
                  <c:v>52- WEEK TRADING RANGE</c:v>
                </c:pt>
                <c:pt idx="1">
                  <c:v>PUBLIC MARKET COMPS</c:v>
                </c:pt>
                <c:pt idx="2">
                  <c:v>PRECENDENT TRANSACTIONS</c:v>
                </c:pt>
                <c:pt idx="3">
                  <c:v>DISCOUNTED CASH FLOW ( DCF)</c:v>
                </c:pt>
                <c:pt idx="4">
                  <c:v>TRANSACTION OFFER PRICE</c:v>
                </c:pt>
              </c:strCache>
            </c:strRef>
          </c:xVal>
          <c:yVal>
            <c:numRef>
              <c:f>'M&amp;A_ENGINE'!$D$66:$D$70</c:f>
              <c:numCache>
                <c:formatCode>General</c:formatCode>
                <c:ptCount val="5"/>
                <c:pt idx="0" formatCode="&quot;$&quot;#,##0.00">
                  <c:v>44.2</c:v>
                </c:pt>
                <c:pt idx="4" formatCode="&quot;$&quot;#,##0.00">
                  <c:v>57.460000000000008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8E-42B1-B42A-AC02F9B1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612544"/>
        <c:axId val="1900619616"/>
      </c:scatterChart>
      <c:catAx>
        <c:axId val="18292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568528"/>
        <c:crosses val="autoZero"/>
        <c:auto val="1"/>
        <c:lblAlgn val="ctr"/>
        <c:lblOffset val="100"/>
        <c:noMultiLvlLbl val="0"/>
      </c:catAx>
      <c:valAx>
        <c:axId val="182456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292784"/>
        <c:crosses val="autoZero"/>
        <c:crossBetween val="between"/>
      </c:valAx>
      <c:valAx>
        <c:axId val="1900619616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12544"/>
        <c:crosses val="max"/>
        <c:crossBetween val="midCat"/>
      </c:valAx>
      <c:valAx>
        <c:axId val="190061254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19616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FUNDING ARCHITECTURE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'M&amp;A_ENGINE'!$A$14:$A$15</c:f>
              <c:strCache>
                <c:ptCount val="2"/>
                <c:pt idx="0">
                  <c:v>CASH CONSIDERATIONS (%)</c:v>
                </c:pt>
                <c:pt idx="1">
                  <c:v>STOCK CONSIDERATION (%)</c:v>
                </c:pt>
              </c:strCache>
            </c:strRef>
          </c:cat>
          <c:val>
            <c:numRef>
              <c:f>'M&amp;A_ENGINE'!$B$14:$B$15</c:f>
              <c:numCache>
                <c:formatCode>0.00%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6-4DBC-BC76-8FC8CAF098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STANDALONE</a:t>
            </a:r>
            <a:r>
              <a:rPr lang="en-US" baseline="0"/>
              <a:t> NET REVENUE SCALE COMAPARISON ($M)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'M&amp;A_ENGINE'!$B$32:$C$32</c:f>
              <c:strCache>
                <c:ptCount val="2"/>
                <c:pt idx="0">
                  <c:v>JPMC</c:v>
                </c:pt>
                <c:pt idx="1">
                  <c:v>ZIONS</c:v>
                </c:pt>
              </c:strCache>
            </c:strRef>
          </c:cat>
          <c:val>
            <c:numRef>
              <c:f>'M&amp;A_ENGINE'!$B$33:$C$33</c:f>
              <c:numCache>
                <c:formatCode>"$"#,##0.00</c:formatCode>
                <c:ptCount val="2"/>
                <c:pt idx="0">
                  <c:v>182447</c:v>
                </c:pt>
                <c:pt idx="1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F-4F51-AC50-17161428F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0242528"/>
        <c:axId val="1905109248"/>
        <c:axId val="0"/>
      </c:bar3DChart>
      <c:catAx>
        <c:axId val="19002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09248"/>
        <c:crosses val="autoZero"/>
        <c:auto val="1"/>
        <c:lblAlgn val="ctr"/>
        <c:lblOffset val="100"/>
        <c:noMultiLvlLbl val="0"/>
      </c:catAx>
      <c:valAx>
        <c:axId val="19051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42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NET INCOME SYNERGY BRIDGE ( JPMC/ZIONS)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NET INCOME SYNERGY BRIDGE ( JPMC/ZIONS)</a:t>
          </a:r>
        </a:p>
      </cx:txPr>
    </cx:title>
    <cx:plotArea>
      <cx:plotAreaRegion>
        <cx:series layoutId="waterfall" uniqueId="{34CFBF69-3E97-4E80-ADA0-12C5778AD485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542924</xdr:colOff>
      <xdr:row>42</xdr:row>
      <xdr:rowOff>0</xdr:rowOff>
    </xdr:from>
    <xdr:to>
      <xdr:col>14</xdr:col>
      <xdr:colOff>285749</xdr:colOff>
      <xdr:row>51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FC2B3-0390-46D0-8EA2-D22E39C37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561975</xdr:colOff>
      <xdr:row>52</xdr:row>
      <xdr:rowOff>28575</xdr:rowOff>
    </xdr:from>
    <xdr:to>
      <xdr:col>14</xdr:col>
      <xdr:colOff>180974</xdr:colOff>
      <xdr:row>62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4B5201-531F-434F-B168-DBE9231CFA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1625" y="9934575"/>
              <a:ext cx="6324599" cy="2038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38100</xdr:colOff>
      <xdr:row>19</xdr:row>
      <xdr:rowOff>147637</xdr:rowOff>
    </xdr:from>
    <xdr:to>
      <xdr:col>13</xdr:col>
      <xdr:colOff>38100</xdr:colOff>
      <xdr:row>30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7AD068-951A-42F6-90AC-1F05615BC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123825</xdr:colOff>
      <xdr:row>31</xdr:row>
      <xdr:rowOff>119061</xdr:rowOff>
    </xdr:from>
    <xdr:to>
      <xdr:col>12</xdr:col>
      <xdr:colOff>600075</xdr:colOff>
      <xdr:row>41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4C4229-BE31-4AF4-8920-5D15C6EDF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AAEA-30C7-4594-8675-23EAD2108114}">
  <dimension ref="A1:L83"/>
  <sheetViews>
    <sheetView tabSelected="1" topLeftCell="A63" workbookViewId="0">
      <selection activeCell="B80" sqref="B80"/>
    </sheetView>
  </sheetViews>
  <sheetFormatPr defaultRowHeight="15" x14ac:dyDescent="0.25"/>
  <cols>
    <col min="1" max="1" width="51.28515625" bestFit="1" customWidth="1"/>
    <col min="2" max="2" width="11.140625" bestFit="1" customWidth="1"/>
    <col min="3" max="3" width="9.85546875" bestFit="1" customWidth="1"/>
  </cols>
  <sheetData>
    <row r="1" spans="1:2" ht="18.75" x14ac:dyDescent="0.3">
      <c r="A1" s="21" t="s">
        <v>67</v>
      </c>
      <c r="B1" s="1"/>
    </row>
    <row r="2" spans="1:2" x14ac:dyDescent="0.25">
      <c r="A2" s="22"/>
    </row>
    <row r="3" spans="1:2" x14ac:dyDescent="0.25">
      <c r="A3" s="23" t="s">
        <v>68</v>
      </c>
      <c r="B3" s="1"/>
    </row>
    <row r="4" spans="1:2" x14ac:dyDescent="0.25">
      <c r="A4" s="1" t="s">
        <v>0</v>
      </c>
    </row>
    <row r="5" spans="1:2" x14ac:dyDescent="0.25">
      <c r="A5" s="1" t="s">
        <v>1</v>
      </c>
    </row>
    <row r="8" spans="1:2" x14ac:dyDescent="0.25">
      <c r="A8" s="11" t="s">
        <v>2</v>
      </c>
    </row>
    <row r="9" spans="1:2" x14ac:dyDescent="0.25">
      <c r="A9" t="s">
        <v>66</v>
      </c>
      <c r="B9" s="7">
        <v>198.5</v>
      </c>
    </row>
    <row r="10" spans="1:2" x14ac:dyDescent="0.25">
      <c r="A10" t="s">
        <v>3</v>
      </c>
      <c r="B10" s="8">
        <v>44.2</v>
      </c>
    </row>
    <row r="11" spans="1:2" x14ac:dyDescent="0.25">
      <c r="A11" t="s">
        <v>4</v>
      </c>
      <c r="B11" s="9">
        <v>0.3</v>
      </c>
    </row>
    <row r="12" spans="1:2" x14ac:dyDescent="0.25">
      <c r="B12" s="4"/>
    </row>
    <row r="13" spans="1:2" x14ac:dyDescent="0.25">
      <c r="A13" s="11" t="s">
        <v>5</v>
      </c>
      <c r="B13" s="2"/>
    </row>
    <row r="14" spans="1:2" x14ac:dyDescent="0.25">
      <c r="A14" t="s">
        <v>6</v>
      </c>
      <c r="B14" s="10">
        <v>0.4</v>
      </c>
    </row>
    <row r="15" spans="1:2" x14ac:dyDescent="0.25">
      <c r="A15" t="s">
        <v>7</v>
      </c>
      <c r="B15" s="10">
        <v>0.6</v>
      </c>
    </row>
    <row r="16" spans="1:2" x14ac:dyDescent="0.25">
      <c r="A16" t="s">
        <v>8</v>
      </c>
      <c r="B16" s="10">
        <v>5.5E-2</v>
      </c>
    </row>
    <row r="17" spans="1:3" x14ac:dyDescent="0.25">
      <c r="A17" t="s">
        <v>9</v>
      </c>
      <c r="B17" s="10">
        <v>0.21</v>
      </c>
    </row>
    <row r="18" spans="1:3" x14ac:dyDescent="0.25">
      <c r="A18" t="s">
        <v>10</v>
      </c>
      <c r="B18" s="8">
        <v>150</v>
      </c>
    </row>
    <row r="20" spans="1:3" x14ac:dyDescent="0.25">
      <c r="A20" s="2" t="s">
        <v>11</v>
      </c>
      <c r="B20" s="15"/>
    </row>
    <row r="21" spans="1:3" x14ac:dyDescent="0.25">
      <c r="A21" t="s">
        <v>12</v>
      </c>
      <c r="B21" s="6">
        <f>B10*(1+B11)</f>
        <v>57.460000000000008</v>
      </c>
    </row>
    <row r="22" spans="1:3" x14ac:dyDescent="0.25">
      <c r="A22" t="s">
        <v>13</v>
      </c>
      <c r="B22" s="13">
        <v>147</v>
      </c>
    </row>
    <row r="23" spans="1:3" x14ac:dyDescent="0.25">
      <c r="A23" t="s">
        <v>14</v>
      </c>
      <c r="B23" s="14">
        <f>B21*B22</f>
        <v>8446.6200000000008</v>
      </c>
    </row>
    <row r="25" spans="1:3" x14ac:dyDescent="0.25">
      <c r="A25" s="2" t="s">
        <v>15</v>
      </c>
    </row>
    <row r="26" spans="1:3" x14ac:dyDescent="0.25">
      <c r="A26" t="s">
        <v>16</v>
      </c>
      <c r="B26" s="6">
        <f>B23*B14</f>
        <v>3378.6480000000006</v>
      </c>
    </row>
    <row r="27" spans="1:3" x14ac:dyDescent="0.25">
      <c r="A27" t="s">
        <v>17</v>
      </c>
      <c r="B27" s="6">
        <f>B23*B15</f>
        <v>5067.9720000000007</v>
      </c>
    </row>
    <row r="28" spans="1:3" x14ac:dyDescent="0.25">
      <c r="A28" t="s">
        <v>18</v>
      </c>
      <c r="B28" s="12">
        <f>B27/B9</f>
        <v>25.531345088161213</v>
      </c>
    </row>
    <row r="31" spans="1:3" x14ac:dyDescent="0.25">
      <c r="A31" s="2" t="s">
        <v>19</v>
      </c>
    </row>
    <row r="32" spans="1:3" x14ac:dyDescent="0.25">
      <c r="B32" s="1" t="s">
        <v>21</v>
      </c>
      <c r="C32" s="1" t="s">
        <v>22</v>
      </c>
    </row>
    <row r="33" spans="1:3" x14ac:dyDescent="0.25">
      <c r="A33" t="s">
        <v>20</v>
      </c>
      <c r="B33" s="6">
        <v>182447</v>
      </c>
      <c r="C33" s="6">
        <v>3400</v>
      </c>
    </row>
    <row r="34" spans="1:3" x14ac:dyDescent="0.25">
      <c r="A34" t="s">
        <v>23</v>
      </c>
      <c r="B34" s="6">
        <v>95640</v>
      </c>
      <c r="C34" s="6">
        <v>2115</v>
      </c>
    </row>
    <row r="35" spans="1:3" x14ac:dyDescent="0.25">
      <c r="A35" t="s">
        <v>24</v>
      </c>
      <c r="B35" s="6">
        <v>14212</v>
      </c>
      <c r="C35" s="6">
        <v>120</v>
      </c>
    </row>
    <row r="36" spans="1:3" x14ac:dyDescent="0.25">
      <c r="A36" t="s">
        <v>25</v>
      </c>
      <c r="B36" s="6">
        <f>B33-B34-B35</f>
        <v>72595</v>
      </c>
      <c r="C36" s="16">
        <f>C33-C34-C35</f>
        <v>1165</v>
      </c>
    </row>
    <row r="37" spans="1:3" x14ac:dyDescent="0.25">
      <c r="A37" t="s">
        <v>26</v>
      </c>
      <c r="B37" s="8">
        <v>15595</v>
      </c>
      <c r="C37" s="8">
        <v>270</v>
      </c>
    </row>
    <row r="38" spans="1:3" x14ac:dyDescent="0.25">
      <c r="A38" t="s">
        <v>27</v>
      </c>
      <c r="B38" s="14">
        <f>B36-B37</f>
        <v>57000</v>
      </c>
      <c r="C38" s="14">
        <f>C36-C37</f>
        <v>895</v>
      </c>
    </row>
    <row r="40" spans="1:3" x14ac:dyDescent="0.25">
      <c r="A40" t="s">
        <v>28</v>
      </c>
      <c r="B40" s="13">
        <v>2700</v>
      </c>
      <c r="C40" s="13">
        <f>B22</f>
        <v>147</v>
      </c>
    </row>
    <row r="41" spans="1:3" x14ac:dyDescent="0.25">
      <c r="A41" t="s">
        <v>29</v>
      </c>
      <c r="B41" s="6">
        <f>B38/B40</f>
        <v>21.111111111111111</v>
      </c>
      <c r="C41" s="6">
        <f>C38/C40</f>
        <v>6.0884353741496602</v>
      </c>
    </row>
    <row r="43" spans="1:3" x14ac:dyDescent="0.25">
      <c r="A43" s="2" t="s">
        <v>30</v>
      </c>
    </row>
    <row r="44" spans="1:3" x14ac:dyDescent="0.25">
      <c r="A44" t="s">
        <v>31</v>
      </c>
      <c r="B44" s="6">
        <f>C34</f>
        <v>2115</v>
      </c>
    </row>
    <row r="45" spans="1:3" x14ac:dyDescent="0.25">
      <c r="A45" t="s">
        <v>32</v>
      </c>
      <c r="B45" s="5">
        <f>B11</f>
        <v>0.3</v>
      </c>
    </row>
    <row r="46" spans="1:3" x14ac:dyDescent="0.25">
      <c r="A46" t="s">
        <v>33</v>
      </c>
      <c r="B46" s="14">
        <f>B44*B45</f>
        <v>634.5</v>
      </c>
    </row>
    <row r="47" spans="1:3" x14ac:dyDescent="0.25">
      <c r="A47" t="s">
        <v>34</v>
      </c>
      <c r="B47" s="6">
        <f>B46*(1-B17)</f>
        <v>501.255</v>
      </c>
    </row>
    <row r="49" spans="1:2" x14ac:dyDescent="0.25">
      <c r="A49" s="2" t="s">
        <v>35</v>
      </c>
      <c r="B49" s="2"/>
    </row>
    <row r="50" spans="1:2" x14ac:dyDescent="0.25">
      <c r="A50" t="s">
        <v>36</v>
      </c>
      <c r="B50" s="6">
        <f>B33+C33</f>
        <v>185847</v>
      </c>
    </row>
    <row r="51" spans="1:2" x14ac:dyDescent="0.25">
      <c r="A51" t="s">
        <v>37</v>
      </c>
      <c r="B51" s="6">
        <f>B34+C34-B46</f>
        <v>97120.5</v>
      </c>
    </row>
    <row r="52" spans="1:2" x14ac:dyDescent="0.25">
      <c r="A52" t="s">
        <v>38</v>
      </c>
      <c r="B52" s="6">
        <f>B35+C35</f>
        <v>14332</v>
      </c>
    </row>
    <row r="53" spans="1:2" x14ac:dyDescent="0.25">
      <c r="A53" t="s">
        <v>39</v>
      </c>
      <c r="B53" s="6">
        <f>B26*B16</f>
        <v>185.82564000000002</v>
      </c>
    </row>
    <row r="54" spans="1:2" x14ac:dyDescent="0.25">
      <c r="A54" s="1" t="s">
        <v>40</v>
      </c>
      <c r="B54" s="14">
        <f>B50-B51-B52</f>
        <v>74394.5</v>
      </c>
    </row>
    <row r="55" spans="1:2" x14ac:dyDescent="0.25">
      <c r="A55" t="s">
        <v>41</v>
      </c>
      <c r="B55" s="6">
        <v>15622.85</v>
      </c>
    </row>
    <row r="56" spans="1:2" x14ac:dyDescent="0.25">
      <c r="A56" t="s">
        <v>42</v>
      </c>
      <c r="B56" s="14">
        <f>B54-B55</f>
        <v>58771.65</v>
      </c>
    </row>
    <row r="58" spans="1:2" x14ac:dyDescent="0.25">
      <c r="A58" s="2" t="s">
        <v>43</v>
      </c>
      <c r="B58" s="2"/>
    </row>
    <row r="59" spans="1:2" x14ac:dyDescent="0.25">
      <c r="A59" t="s">
        <v>44</v>
      </c>
      <c r="B59" s="12">
        <f>B40+B28</f>
        <v>2725.5313450881613</v>
      </c>
    </row>
    <row r="60" spans="1:2" x14ac:dyDescent="0.25">
      <c r="A60" t="s">
        <v>45</v>
      </c>
      <c r="B60" s="14">
        <f>B56/B59</f>
        <v>21.563373360543373</v>
      </c>
    </row>
    <row r="61" spans="1:2" x14ac:dyDescent="0.25">
      <c r="A61" t="s">
        <v>46</v>
      </c>
      <c r="B61" s="6">
        <f>B41</f>
        <v>21.111111111111111</v>
      </c>
    </row>
    <row r="62" spans="1:2" x14ac:dyDescent="0.25">
      <c r="A62" s="1" t="s">
        <v>47</v>
      </c>
      <c r="B62" s="14">
        <f>B60-B61</f>
        <v>0.45226224943226256</v>
      </c>
    </row>
    <row r="63" spans="1:2" x14ac:dyDescent="0.25">
      <c r="A63" s="1" t="s">
        <v>48</v>
      </c>
      <c r="B63" s="17">
        <f>(B60/B61)-1</f>
        <v>2.1422948657317642E-2</v>
      </c>
    </row>
    <row r="65" spans="1:12" x14ac:dyDescent="0.25">
      <c r="B65" t="s">
        <v>51</v>
      </c>
      <c r="C65" t="s">
        <v>52</v>
      </c>
      <c r="D65" t="s">
        <v>53</v>
      </c>
    </row>
    <row r="66" spans="1:12" x14ac:dyDescent="0.25">
      <c r="A66" t="s">
        <v>49</v>
      </c>
      <c r="B66" s="6">
        <v>35</v>
      </c>
      <c r="C66" s="6">
        <v>55</v>
      </c>
      <c r="D66" s="6">
        <f>B10</f>
        <v>44.2</v>
      </c>
    </row>
    <row r="67" spans="1:12" x14ac:dyDescent="0.25">
      <c r="A67" t="s">
        <v>50</v>
      </c>
      <c r="B67" s="6">
        <v>40</v>
      </c>
      <c r="C67" s="6">
        <v>60</v>
      </c>
    </row>
    <row r="68" spans="1:12" x14ac:dyDescent="0.25">
      <c r="A68" t="s">
        <v>54</v>
      </c>
      <c r="B68" s="6">
        <v>48</v>
      </c>
      <c r="C68" s="6">
        <v>68</v>
      </c>
    </row>
    <row r="69" spans="1:12" x14ac:dyDescent="0.25">
      <c r="A69" t="s">
        <v>55</v>
      </c>
      <c r="B69" s="6">
        <v>45</v>
      </c>
      <c r="C69" s="6">
        <v>65</v>
      </c>
    </row>
    <row r="70" spans="1:12" x14ac:dyDescent="0.25">
      <c r="A70" t="s">
        <v>56</v>
      </c>
      <c r="D70" s="6">
        <f>B21</f>
        <v>57.460000000000008</v>
      </c>
    </row>
    <row r="73" spans="1:12" x14ac:dyDescent="0.25">
      <c r="F73" s="1" t="s">
        <v>69</v>
      </c>
    </row>
    <row r="75" spans="1:12" x14ac:dyDescent="0.25">
      <c r="A75" t="s">
        <v>57</v>
      </c>
      <c r="B75" s="6">
        <f>B38</f>
        <v>57000</v>
      </c>
      <c r="D75" s="3">
        <v>0</v>
      </c>
      <c r="E75" s="5">
        <v>-8.5000000000000006E-3</v>
      </c>
      <c r="F75" s="18"/>
      <c r="G75" s="18"/>
      <c r="H75" s="18"/>
      <c r="I75" s="18"/>
      <c r="J75" s="18"/>
      <c r="K75" s="18"/>
      <c r="L75" s="18"/>
    </row>
    <row r="76" spans="1:12" x14ac:dyDescent="0.25">
      <c r="A76" t="s">
        <v>58</v>
      </c>
      <c r="B76" s="6">
        <f>C38</f>
        <v>895</v>
      </c>
      <c r="D76" s="3">
        <v>0.1</v>
      </c>
      <c r="E76" s="5">
        <v>1.5E-3</v>
      </c>
      <c r="F76" s="18"/>
      <c r="G76" s="18"/>
      <c r="H76" s="18"/>
      <c r="I76" s="18"/>
      <c r="J76" s="18"/>
      <c r="K76" s="18"/>
      <c r="L76" s="18"/>
    </row>
    <row r="77" spans="1:12" x14ac:dyDescent="0.25">
      <c r="A77" t="s">
        <v>59</v>
      </c>
      <c r="B77" s="6">
        <f>B47</f>
        <v>501.255</v>
      </c>
      <c r="D77" s="3">
        <v>0.2</v>
      </c>
      <c r="E77" s="5">
        <v>1.14E-2</v>
      </c>
      <c r="F77" s="18"/>
      <c r="G77" s="18"/>
      <c r="H77" s="18"/>
      <c r="I77" s="18"/>
      <c r="J77" s="18"/>
      <c r="K77" s="18"/>
      <c r="L77" s="18"/>
    </row>
    <row r="78" spans="1:12" x14ac:dyDescent="0.25">
      <c r="A78" t="s">
        <v>60</v>
      </c>
      <c r="B78">
        <f>-146.81</f>
        <v>-146.81</v>
      </c>
      <c r="D78" s="3">
        <v>0.3</v>
      </c>
      <c r="E78" s="5">
        <v>2.1399999999999999E-2</v>
      </c>
      <c r="F78" s="18"/>
      <c r="G78" s="18"/>
      <c r="H78" s="18"/>
      <c r="I78" s="18"/>
      <c r="J78" s="18"/>
      <c r="K78" s="18"/>
      <c r="L78" s="18"/>
    </row>
    <row r="79" spans="1:12" x14ac:dyDescent="0.25">
      <c r="A79" s="1" t="s">
        <v>61</v>
      </c>
      <c r="B79" s="14">
        <f>B56</f>
        <v>58771.65</v>
      </c>
    </row>
    <row r="80" spans="1:12" x14ac:dyDescent="0.25">
      <c r="F80" s="19" t="s">
        <v>62</v>
      </c>
      <c r="G80" s="19" t="s">
        <v>63</v>
      </c>
    </row>
    <row r="81" spans="4:7" x14ac:dyDescent="0.25">
      <c r="D81" s="19"/>
      <c r="F81" s="20" t="s">
        <v>64</v>
      </c>
      <c r="G81" s="20" t="s">
        <v>65</v>
      </c>
    </row>
    <row r="83" spans="4:7" x14ac:dyDescent="0.25">
      <c r="D83" s="5"/>
    </row>
  </sheetData>
  <mergeCells count="1">
    <mergeCell ref="F75:L78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46A4588C-B92F-405F-B983-AF596B869F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'M&amp;A_ENGINE'!E75:E78</xm:f>
              <xm:sqref>F75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M&amp;A_ENGINE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</dc:creator>
  <cp:lastModifiedBy>sri</cp:lastModifiedBy>
  <dcterms:created xsi:type="dcterms:W3CDTF">2026-06-24T12:34:41Z</dcterms:created>
  <dcterms:modified xsi:type="dcterms:W3CDTF">2026-06-24T16:24:30Z</dcterms:modified>
</cp:coreProperties>
</file>